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r:revisionPtr revIDLastSave="0" documentId="11_A198AA15C127ED83AC9D98CAF582481FDAC000C4" xr6:coauthVersionLast="47" xr6:coauthVersionMax="47" xr10:uidLastSave="{00000000-0000-0000-0000-000000000000}"/>
  <bookViews>
    <workbookView xWindow="10395" yWindow="-105" windowWidth="14850" windowHeight="12735" xr2:uid="{00000000-000D-0000-FFFF-FFFF00000000}"/>
  </bookViews>
  <sheets>
    <sheet name="Data" sheetId="2" r:id="rId1"/>
    <sheet name="Tickers" sheetId="3" r:id="rId2"/>
  </sheets>
  <calcPr calcId="14562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4" i="3"/>
  <c r="B3" i="3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B5" i="2"/>
  <c r="B4" i="2"/>
  <c r="B3" i="2"/>
</calcChain>
</file>

<file path=xl/sharedStrings.xml><?xml version="1.0" encoding="utf-8"?>
<sst xmlns="http://schemas.openxmlformats.org/spreadsheetml/2006/main" count="122" uniqueCount="93">
  <si>
    <t>Pricing Date</t>
  </si>
  <si>
    <t>2026-03-09</t>
  </si>
  <si>
    <t>Region: United States</t>
  </si>
  <si>
    <t>Instrument: Fed Funds Futures</t>
  </si>
  <si>
    <t>Target Rate</t>
  </si>
  <si>
    <t>Effective Rate</t>
  </si>
  <si>
    <t>Cur. Imp. O/N Rate</t>
  </si>
  <si>
    <t>Meeting</t>
  </si>
  <si>
    <t>#Hikes/Cuts</t>
  </si>
  <si>
    <t>%Hike/Cut</t>
  </si>
  <si>
    <t>Imp. Rate ∆</t>
  </si>
  <si>
    <t>Implied Rate</t>
  </si>
  <si>
    <t>A.R.M.</t>
  </si>
  <si>
    <t>03/18/2026</t>
  </si>
  <si>
    <t>04/29/2026</t>
  </si>
  <si>
    <t>06/17/2026</t>
  </si>
  <si>
    <t>07/29/2026</t>
  </si>
  <si>
    <t>09/16/2026</t>
  </si>
  <si>
    <t>10/28/2026</t>
  </si>
  <si>
    <t>12/09/2026</t>
  </si>
  <si>
    <t>01/27/2027</t>
  </si>
  <si>
    <t>03/17/2027</t>
  </si>
  <si>
    <t>04/28/2027</t>
  </si>
  <si>
    <t>06/09/2027</t>
  </si>
  <si>
    <t>07/28/2027</t>
  </si>
  <si>
    <t>09/15/2027</t>
  </si>
  <si>
    <t>10/27/2027</t>
  </si>
  <si>
    <t>12/08/2027</t>
  </si>
  <si>
    <t>01/26/2028</t>
  </si>
  <si>
    <t>US0ANM MAR2026 Index</t>
  </si>
  <si>
    <t>US0APR MAR2026 Index</t>
  </si>
  <si>
    <t>US0ACH MAR2026 Index</t>
  </si>
  <si>
    <t>US0AFR MAR2026 Index</t>
  </si>
  <si>
    <t>US0ANM APR2026 Index</t>
  </si>
  <si>
    <t>US0APR APR2026 Index</t>
  </si>
  <si>
    <t>US0ACH APR2026 Index</t>
  </si>
  <si>
    <t>US0AFR APR2026 Index</t>
  </si>
  <si>
    <t>US0ANM JUN2026 Index</t>
  </si>
  <si>
    <t>US0APR JUN2026 Index</t>
  </si>
  <si>
    <t>US0ACH JUN2026 Index</t>
  </si>
  <si>
    <t>US0AFR JUN2026 Index</t>
  </si>
  <si>
    <t>US0ANM JUL2026 Index</t>
  </si>
  <si>
    <t>US0APR JUL2026 Index</t>
  </si>
  <si>
    <t>US0ACH JUL2026 Index</t>
  </si>
  <si>
    <t>US0AFR JUL2026 Index</t>
  </si>
  <si>
    <t>US0ANM SEP2026 Index</t>
  </si>
  <si>
    <t>US0APR SEP2026 Index</t>
  </si>
  <si>
    <t>US0ACH SEP2026 Index</t>
  </si>
  <si>
    <t>US0AFR SEP2026 Index</t>
  </si>
  <si>
    <t>US0ANM OCT2026 Index</t>
  </si>
  <si>
    <t>US0APR OCT2026 Index</t>
  </si>
  <si>
    <t>US0ACH OCT2026 Index</t>
  </si>
  <si>
    <t>US0AFR OCT2026 Index</t>
  </si>
  <si>
    <t>US0ANM DEC2026 Index</t>
  </si>
  <si>
    <t>US0APR DEC2026 Index</t>
  </si>
  <si>
    <t>US0ACH DEC2026 Index</t>
  </si>
  <si>
    <t>US0AFR DEC2026 Index</t>
  </si>
  <si>
    <t>US0ANM JAN2027 Index</t>
  </si>
  <si>
    <t>US0APR JAN2027 Index</t>
  </si>
  <si>
    <t>US0ACH JAN2027 Index</t>
  </si>
  <si>
    <t>US0AFR JAN2027 Index</t>
  </si>
  <si>
    <t>US0ANM MAR2027 Index</t>
  </si>
  <si>
    <t>US0APR MAR2027 Index</t>
  </si>
  <si>
    <t>US0ACH MAR2027 Index</t>
  </si>
  <si>
    <t>US0AFR MAR2027 Index</t>
  </si>
  <si>
    <t>US0ANM APR2027 Index</t>
  </si>
  <si>
    <t>US0APR APR2027 Index</t>
  </si>
  <si>
    <t>US0ACH APR2027 Index</t>
  </si>
  <si>
    <t>US0AFR APR2027 Index</t>
  </si>
  <si>
    <t>US0ANM JUN2027 Index</t>
  </si>
  <si>
    <t>US0APR JUN2027 Index</t>
  </si>
  <si>
    <t>US0ACH JUN2027 Index</t>
  </si>
  <si>
    <t>US0AFR JUN2027 Index</t>
  </si>
  <si>
    <t>US0ANM JUL2027 Index</t>
  </si>
  <si>
    <t>US0APR JUL2027 Index</t>
  </si>
  <si>
    <t>US0ACH JUL2027 Index</t>
  </si>
  <si>
    <t>US0AFR JUL2027 Index</t>
  </si>
  <si>
    <t>US0ANM SEP2027 Index</t>
  </si>
  <si>
    <t>US0APR SEP2027 Index</t>
  </si>
  <si>
    <t>US0ACH SEP2027 Index</t>
  </si>
  <si>
    <t>US0AFR SEP2027 Index</t>
  </si>
  <si>
    <t>US0ANM OCT2027 Index</t>
  </si>
  <si>
    <t>US0APR OCT2027 Index</t>
  </si>
  <si>
    <t>US0ACH OCT2027 Index</t>
  </si>
  <si>
    <t>US0AFR OCT2027 Index</t>
  </si>
  <si>
    <t>US0ANM DEC2027 Index</t>
  </si>
  <si>
    <t>US0APR DEC2027 Index</t>
  </si>
  <si>
    <t>US0ACH DEC2027 Index</t>
  </si>
  <si>
    <t>US0AFR DEC2027 Index</t>
  </si>
  <si>
    <t>US0ANM JAN2028 Index</t>
  </si>
  <si>
    <t>US0APR JAN2028 Index</t>
  </si>
  <si>
    <t>US0ACH JAN2028 Index</t>
  </si>
  <si>
    <t>US0AFR JAN2028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</si>
</sst>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zoomScaleSheetLayoutView="100" workbookViewId="0"/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tr">
        <f ca="1">BDP("FDTR Index", "RQ005")</f>
        <v/>
      </c>
    </row>
    <row r="4" spans="1:6">
      <c r="A4" t="s">
        <v>5</v>
      </c>
      <c r="B4" t="str">
        <f ca="1">BDP("FEDL01 Index", "RQ005")</f>
        <v/>
      </c>
    </row>
    <row r="5" spans="1:6">
      <c r="A5" t="s">
        <v>6</v>
      </c>
      <c r="B5" t="str">
        <f ca="1">BDP("US0ACR Index", "RQ005")</f>
        <v/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tr">
        <f ca="1">BDP("US0ANM MAR2026 Index","RQ005")</f>
        <v/>
      </c>
      <c r="C7" t="str">
        <f ca="1">BDP("US0APR MAR2026 Index","RQ005")</f>
        <v/>
      </c>
      <c r="D7" t="str">
        <f ca="1">BDP("US0ACH MAR2026 Index","RQ005")</f>
        <v/>
      </c>
      <c r="E7" t="str">
        <f ca="1">BDP("US0AFR MAR2026 Index","RQ005")</f>
        <v/>
      </c>
      <c r="F7">
        <v>0.25</v>
      </c>
    </row>
    <row r="8" spans="1:6">
      <c r="A8" t="s">
        <v>14</v>
      </c>
      <c r="B8" t="str">
        <f ca="1">BDP("US0ANM APR2026 Index","RQ005")</f>
        <v/>
      </c>
      <c r="C8" t="str">
        <f ca="1">BDP("US0APR APR2026 Index","RQ005")</f>
        <v/>
      </c>
      <c r="D8" t="str">
        <f ca="1">BDP("US0ACH APR2026 Index","RQ005")</f>
        <v/>
      </c>
      <c r="E8" t="str">
        <f ca="1">BDP("US0AFR APR2026 Index","RQ005")</f>
        <v/>
      </c>
      <c r="F8">
        <v>0.25</v>
      </c>
    </row>
    <row r="9" spans="1:6">
      <c r="A9" t="s">
        <v>15</v>
      </c>
      <c r="B9" t="str">
        <f ca="1">BDP("US0ANM JUN2026 Index","RQ005")</f>
        <v/>
      </c>
      <c r="C9" t="str">
        <f ca="1">BDP("US0APR JUN2026 Index","RQ005")</f>
        <v/>
      </c>
      <c r="D9" t="str">
        <f ca="1">BDP("US0ACH JUN2026 Index","RQ005")</f>
        <v/>
      </c>
      <c r="E9" t="str">
        <f ca="1">BDP("US0AFR JUN2026 Index","RQ005")</f>
        <v/>
      </c>
      <c r="F9">
        <v>0.25</v>
      </c>
    </row>
    <row r="10" spans="1:6">
      <c r="A10" t="s">
        <v>16</v>
      </c>
      <c r="B10" t="str">
        <f ca="1">BDP("US0ANM JUL2026 Index","RQ005")</f>
        <v/>
      </c>
      <c r="C10" t="str">
        <f ca="1">BDP("US0APR JUL2026 Index","RQ005")</f>
        <v/>
      </c>
      <c r="D10" t="str">
        <f ca="1">BDP("US0ACH JUL2026 Index","RQ005")</f>
        <v/>
      </c>
      <c r="E10" t="str">
        <f ca="1">BDP("US0AFR JUL2026 Index","RQ005")</f>
        <v/>
      </c>
      <c r="F10">
        <v>0.25</v>
      </c>
    </row>
    <row r="11" spans="1:6">
      <c r="A11" t="s">
        <v>17</v>
      </c>
      <c r="B11" t="str">
        <f ca="1">BDP("US0ANM SEP2026 Index","RQ005")</f>
        <v/>
      </c>
      <c r="C11" t="str">
        <f ca="1">BDP("US0APR SEP2026 Index","RQ005")</f>
        <v/>
      </c>
      <c r="D11" t="str">
        <f ca="1">BDP("US0ACH SEP2026 Index","RQ005")</f>
        <v/>
      </c>
      <c r="E11" t="str">
        <f ca="1">BDP("US0AFR SEP2026 Index","RQ005")</f>
        <v/>
      </c>
      <c r="F11">
        <v>0.25</v>
      </c>
    </row>
    <row r="12" spans="1:6">
      <c r="A12" t="s">
        <v>18</v>
      </c>
      <c r="B12" t="str">
        <f ca="1">BDP("US0ANM OCT2026 Index","RQ005")</f>
        <v/>
      </c>
      <c r="C12" t="str">
        <f ca="1">BDP("US0APR OCT2026 Index","RQ005")</f>
        <v/>
      </c>
      <c r="D12" t="str">
        <f ca="1">BDP("US0ACH OCT2026 Index","RQ005")</f>
        <v/>
      </c>
      <c r="E12" t="str">
        <f ca="1">BDP("US0AFR OCT2026 Index","RQ005")</f>
        <v/>
      </c>
      <c r="F12">
        <v>0.25</v>
      </c>
    </row>
    <row r="13" spans="1:6">
      <c r="A13" t="s">
        <v>19</v>
      </c>
      <c r="B13" t="str">
        <f ca="1">BDP("US0ANM DEC2026 Index","RQ005")</f>
        <v/>
      </c>
      <c r="C13" t="str">
        <f ca="1">BDP("US0APR DEC2026 Index","RQ005")</f>
        <v/>
      </c>
      <c r="D13" t="str">
        <f ca="1">BDP("US0ACH DEC2026 Index","RQ005")</f>
        <v/>
      </c>
      <c r="E13" t="str">
        <f ca="1">BDP("US0AFR DEC2026 Index","RQ005")</f>
        <v/>
      </c>
      <c r="F13">
        <v>0.25</v>
      </c>
    </row>
    <row r="14" spans="1:6">
      <c r="A14" t="s">
        <v>20</v>
      </c>
      <c r="B14" t="str">
        <f ca="1">BDP("US0ANM JAN2027 Index","RQ005")</f>
        <v/>
      </c>
      <c r="C14" t="str">
        <f ca="1">BDP("US0APR JAN2027 Index","RQ005")</f>
        <v/>
      </c>
      <c r="D14" t="str">
        <f ca="1">BDP("US0ACH JAN2027 Index","RQ005")</f>
        <v/>
      </c>
      <c r="E14" t="str">
        <f ca="1">BDP("US0AFR JAN2027 Index","RQ005")</f>
        <v/>
      </c>
      <c r="F14">
        <v>0.25</v>
      </c>
    </row>
    <row r="15" spans="1:6">
      <c r="A15" t="s">
        <v>21</v>
      </c>
      <c r="B15" t="str">
        <f ca="1">BDP("US0ANM MAR2027 Index","RQ005")</f>
        <v/>
      </c>
      <c r="C15" t="str">
        <f ca="1">BDP("US0APR MAR2027 Index","RQ005")</f>
        <v/>
      </c>
      <c r="D15" t="str">
        <f ca="1">BDP("US0ACH MAR2027 Index","RQ005")</f>
        <v/>
      </c>
      <c r="E15" t="str">
        <f ca="1">BDP("US0AFR MAR2027 Index","RQ005")</f>
        <v/>
      </c>
      <c r="F15">
        <v>0.25</v>
      </c>
    </row>
    <row r="16" spans="1:6">
      <c r="A16" t="s">
        <v>22</v>
      </c>
      <c r="B16" t="str">
        <f ca="1">BDP("US0ANM APR2027 Index","RQ005")</f>
        <v/>
      </c>
      <c r="C16" t="str">
        <f ca="1">BDP("US0APR APR2027 Index","RQ005")</f>
        <v/>
      </c>
      <c r="D16" t="str">
        <f ca="1">BDP("US0ACH APR2027 Index","RQ005")</f>
        <v/>
      </c>
      <c r="E16" t="str">
        <f ca="1">BDP("US0AFR APR2027 Index","RQ005")</f>
        <v/>
      </c>
      <c r="F16">
        <v>0.25</v>
      </c>
    </row>
    <row r="17" spans="1:6">
      <c r="A17" t="s">
        <v>23</v>
      </c>
      <c r="B17" t="str">
        <f ca="1">BDP("US0ANM JUN2027 Index","RQ005")</f>
        <v/>
      </c>
      <c r="C17" t="str">
        <f ca="1">BDP("US0APR JUN2027 Index","RQ005")</f>
        <v/>
      </c>
      <c r="D17" t="str">
        <f ca="1">BDP("US0ACH JUN2027 Index","RQ005")</f>
        <v/>
      </c>
      <c r="E17" t="str">
        <f ca="1">BDP("US0AFR JUN2027 Index","RQ005")</f>
        <v/>
      </c>
      <c r="F17">
        <v>0.25</v>
      </c>
    </row>
    <row r="18" spans="1:6">
      <c r="A18" t="s">
        <v>24</v>
      </c>
      <c r="B18" t="str">
        <f ca="1">BDP("US0ANM JUL2027 Index","RQ005")</f>
        <v/>
      </c>
      <c r="C18" t="str">
        <f ca="1">BDP("US0APR JUL2027 Index","RQ005")</f>
        <v/>
      </c>
      <c r="D18" t="str">
        <f ca="1">BDP("US0ACH JUL2027 Index","RQ005")</f>
        <v/>
      </c>
      <c r="E18" t="str">
        <f ca="1">BDP("US0AFR JUL2027 Index","RQ005")</f>
        <v/>
      </c>
      <c r="F18">
        <v>0.25</v>
      </c>
    </row>
    <row r="19" spans="1:6">
      <c r="A19" t="s">
        <v>25</v>
      </c>
      <c r="B19" t="str">
        <f ca="1">BDP("US0ANM SEP2027 Index","RQ005")</f>
        <v/>
      </c>
      <c r="C19" t="str">
        <f ca="1">BDP("US0APR SEP2027 Index","RQ005")</f>
        <v/>
      </c>
      <c r="D19" t="str">
        <f ca="1">BDP("US0ACH SEP2027 Index","RQ005")</f>
        <v/>
      </c>
      <c r="E19" t="str">
        <f ca="1">BDP("US0AFR SEP2027 Index","RQ005")</f>
        <v/>
      </c>
      <c r="F19">
        <v>0.25</v>
      </c>
    </row>
    <row r="20" spans="1:6">
      <c r="A20" t="s">
        <v>26</v>
      </c>
      <c r="B20" t="str">
        <f ca="1">BDP("US0ANM OCT2027 Index","RQ005")</f>
        <v/>
      </c>
      <c r="C20" t="str">
        <f ca="1">BDP("US0APR OCT2027 Index","RQ005")</f>
        <v/>
      </c>
      <c r="D20" t="str">
        <f ca="1">BDP("US0ACH OCT2027 Index","RQ005")</f>
        <v/>
      </c>
      <c r="E20" t="str">
        <f ca="1">BDP("US0AFR OCT2027 Index","RQ005")</f>
        <v/>
      </c>
      <c r="F20">
        <v>0.25</v>
      </c>
    </row>
    <row r="21" spans="1:6">
      <c r="A21" t="s">
        <v>27</v>
      </c>
      <c r="B21" t="str">
        <f ca="1">BDP("US0ANM DEC2027 Index","RQ005")</f>
        <v/>
      </c>
      <c r="C21" t="str">
        <f ca="1">BDP("US0APR DEC2027 Index","RQ005")</f>
        <v/>
      </c>
      <c r="D21" t="str">
        <f ca="1">BDP("US0ACH DEC2027 Index","RQ005")</f>
        <v/>
      </c>
      <c r="E21" t="str">
        <f ca="1">BDP("US0AFR DEC2027 Index","RQ005")</f>
        <v/>
      </c>
      <c r="F21">
        <v>0.25</v>
      </c>
    </row>
    <row r="22" spans="1:6">
      <c r="A22" t="s">
        <v>28</v>
      </c>
      <c r="B22" t="str">
        <f ca="1">BDP("US0ANM JAN2028 Index","RQ005")</f>
        <v/>
      </c>
      <c r="C22" t="str">
        <f ca="1">BDP("US0APR JAN2028 Index","RQ005")</f>
        <v/>
      </c>
      <c r="D22" t="str">
        <f ca="1">BDP("US0ACH JAN2028 Index","RQ005")</f>
        <v/>
      </c>
      <c r="E22" t="str">
        <f ca="1">BDP("US0AFR JAN2028 Index","RQ005")</f>
        <v/>
      </c>
      <c r="F22">
        <v>0.25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zoomScaleSheetLayoutView="100" workbookViewId="0"/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tr">
        <f ca="1">BDP("FDTR Index", "RQ005")</f>
        <v/>
      </c>
    </row>
    <row r="4" spans="1:6">
      <c r="A4" t="s">
        <v>5</v>
      </c>
      <c r="B4" t="str">
        <f ca="1">BDP("FEDL01 Index", "RQ005")</f>
        <v/>
      </c>
    </row>
    <row r="5" spans="1:6">
      <c r="A5" t="s">
        <v>6</v>
      </c>
      <c r="B5" t="str">
        <f ca="1">BDP("US0ACR Index", "RQ005")</f>
        <v/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">
        <v>29</v>
      </c>
      <c r="C7" t="s">
        <v>30</v>
      </c>
      <c r="D7" t="s">
        <v>31</v>
      </c>
      <c r="E7" t="s">
        <v>32</v>
      </c>
      <c r="F7">
        <v>0.25</v>
      </c>
    </row>
    <row r="8" spans="1:6">
      <c r="A8" t="s">
        <v>14</v>
      </c>
      <c r="B8" t="s">
        <v>33</v>
      </c>
      <c r="C8" t="s">
        <v>34</v>
      </c>
      <c r="D8" t="s">
        <v>35</v>
      </c>
      <c r="E8" t="s">
        <v>36</v>
      </c>
      <c r="F8">
        <v>0.25</v>
      </c>
    </row>
    <row r="9" spans="1:6">
      <c r="A9" t="s">
        <v>15</v>
      </c>
      <c r="B9" t="s">
        <v>37</v>
      </c>
      <c r="C9" t="s">
        <v>38</v>
      </c>
      <c r="D9" t="s">
        <v>39</v>
      </c>
      <c r="E9" t="s">
        <v>40</v>
      </c>
      <c r="F9">
        <v>0.25</v>
      </c>
    </row>
    <row r="10" spans="1:6">
      <c r="A10" t="s">
        <v>16</v>
      </c>
      <c r="B10" t="s">
        <v>41</v>
      </c>
      <c r="C10" t="s">
        <v>42</v>
      </c>
      <c r="D10" t="s">
        <v>43</v>
      </c>
      <c r="E10" t="s">
        <v>44</v>
      </c>
      <c r="F10">
        <v>0.25</v>
      </c>
    </row>
    <row r="11" spans="1:6">
      <c r="A11" t="s">
        <v>17</v>
      </c>
      <c r="B11" t="s">
        <v>45</v>
      </c>
      <c r="C11" t="s">
        <v>46</v>
      </c>
      <c r="D11" t="s">
        <v>47</v>
      </c>
      <c r="E11" t="s">
        <v>48</v>
      </c>
      <c r="F11">
        <v>0.25</v>
      </c>
    </row>
    <row r="12" spans="1:6">
      <c r="A12" t="s">
        <v>18</v>
      </c>
      <c r="B12" t="s">
        <v>49</v>
      </c>
      <c r="C12" t="s">
        <v>50</v>
      </c>
      <c r="D12" t="s">
        <v>51</v>
      </c>
      <c r="E12" t="s">
        <v>52</v>
      </c>
      <c r="F12">
        <v>0.25</v>
      </c>
    </row>
    <row r="13" spans="1:6">
      <c r="A13" t="s">
        <v>19</v>
      </c>
      <c r="B13" t="s">
        <v>53</v>
      </c>
      <c r="C13" t="s">
        <v>54</v>
      </c>
      <c r="D13" t="s">
        <v>55</v>
      </c>
      <c r="E13" t="s">
        <v>56</v>
      </c>
      <c r="F13">
        <v>0.25</v>
      </c>
    </row>
    <row r="14" spans="1:6">
      <c r="A14" t="s">
        <v>20</v>
      </c>
      <c r="B14" t="s">
        <v>57</v>
      </c>
      <c r="C14" t="s">
        <v>58</v>
      </c>
      <c r="D14" t="s">
        <v>59</v>
      </c>
      <c r="E14" t="s">
        <v>60</v>
      </c>
      <c r="F14">
        <v>0.25</v>
      </c>
    </row>
    <row r="15" spans="1:6">
      <c r="A15" t="s">
        <v>21</v>
      </c>
      <c r="B15" t="s">
        <v>61</v>
      </c>
      <c r="C15" t="s">
        <v>62</v>
      </c>
      <c r="D15" t="s">
        <v>63</v>
      </c>
      <c r="E15" t="s">
        <v>64</v>
      </c>
      <c r="F15">
        <v>0.25</v>
      </c>
    </row>
    <row r="16" spans="1:6">
      <c r="A16" t="s">
        <v>22</v>
      </c>
      <c r="B16" t="s">
        <v>65</v>
      </c>
      <c r="C16" t="s">
        <v>66</v>
      </c>
      <c r="D16" t="s">
        <v>67</v>
      </c>
      <c r="E16" t="s">
        <v>68</v>
      </c>
      <c r="F16">
        <v>0.25</v>
      </c>
    </row>
    <row r="17" spans="1:6">
      <c r="A17" t="s">
        <v>23</v>
      </c>
      <c r="B17" t="s">
        <v>69</v>
      </c>
      <c r="C17" t="s">
        <v>70</v>
      </c>
      <c r="D17" t="s">
        <v>71</v>
      </c>
      <c r="E17" t="s">
        <v>72</v>
      </c>
      <c r="F17">
        <v>0.25</v>
      </c>
    </row>
    <row r="18" spans="1:6">
      <c r="A18" t="s">
        <v>24</v>
      </c>
      <c r="B18" t="s">
        <v>73</v>
      </c>
      <c r="C18" t="s">
        <v>74</v>
      </c>
      <c r="D18" t="s">
        <v>75</v>
      </c>
      <c r="E18" t="s">
        <v>76</v>
      </c>
      <c r="F18">
        <v>0.25</v>
      </c>
    </row>
    <row r="19" spans="1:6">
      <c r="A19" t="s">
        <v>25</v>
      </c>
      <c r="B19" t="s">
        <v>77</v>
      </c>
      <c r="C19" t="s">
        <v>78</v>
      </c>
      <c r="D19" t="s">
        <v>79</v>
      </c>
      <c r="E19" t="s">
        <v>80</v>
      </c>
      <c r="F19">
        <v>0.25</v>
      </c>
    </row>
    <row r="20" spans="1:6">
      <c r="A20" t="s">
        <v>26</v>
      </c>
      <c r="B20" t="s">
        <v>81</v>
      </c>
      <c r="C20" t="s">
        <v>82</v>
      </c>
      <c r="D20" t="s">
        <v>83</v>
      </c>
      <c r="E20" t="s">
        <v>84</v>
      </c>
      <c r="F20">
        <v>0.25</v>
      </c>
    </row>
    <row r="21" spans="1:6">
      <c r="A21" t="s">
        <v>27</v>
      </c>
      <c r="B21" t="s">
        <v>85</v>
      </c>
      <c r="C21" t="s">
        <v>86</v>
      </c>
      <c r="D21" t="s">
        <v>87</v>
      </c>
      <c r="E21" t="s">
        <v>88</v>
      </c>
      <c r="F21">
        <v>0.25</v>
      </c>
    </row>
    <row r="22" spans="1:6">
      <c r="A22" t="s">
        <v>28</v>
      </c>
      <c r="B22" t="s">
        <v>89</v>
      </c>
      <c r="C22" t="s">
        <v>90</v>
      </c>
      <c r="D22" t="s">
        <v>91</v>
      </c>
      <c r="E22" t="s">
        <v>92</v>
      </c>
      <c r="F22">
        <v>0.25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2026-03-10T01:27:52Z</dcterms:modified>
  <cp:category/>
  <cp:contentStatus/>
</cp:coreProperties>
</file>