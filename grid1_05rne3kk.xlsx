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EC667DB8-730B-4290-B446-D4031C8A49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  <sheet name="Ticker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D20" i="2"/>
  <c r="B9" i="2"/>
  <c r="B14" i="2"/>
  <c r="E9" i="2"/>
  <c r="E16" i="2"/>
  <c r="E11" i="2"/>
  <c r="E14" i="2"/>
  <c r="E12" i="2"/>
  <c r="C22" i="2"/>
  <c r="C12" i="2"/>
  <c r="B19" i="2"/>
  <c r="E15" i="2"/>
  <c r="B10" i="2"/>
  <c r="E17" i="2"/>
  <c r="D21" i="2"/>
  <c r="C19" i="2"/>
  <c r="B17" i="2"/>
  <c r="B5" i="3"/>
  <c r="B5" i="2"/>
  <c r="B22" i="2"/>
  <c r="C11" i="2"/>
  <c r="E13" i="2"/>
  <c r="D19" i="2"/>
  <c r="D17" i="2"/>
  <c r="E21" i="2"/>
  <c r="C10" i="2"/>
  <c r="C9" i="2"/>
  <c r="E20" i="2"/>
  <c r="B18" i="2"/>
  <c r="C21" i="2"/>
  <c r="B21" i="2"/>
  <c r="B16" i="2"/>
  <c r="C16" i="2"/>
  <c r="B12" i="2"/>
  <c r="E10" i="2"/>
  <c r="B7" i="2"/>
  <c r="D15" i="2"/>
  <c r="E8" i="2"/>
  <c r="D8" i="2"/>
  <c r="E19" i="2"/>
  <c r="C15" i="2"/>
  <c r="D7" i="2"/>
  <c r="C17" i="2"/>
  <c r="C18" i="2"/>
  <c r="D10" i="2"/>
  <c r="D22" i="2"/>
  <c r="C14" i="2"/>
  <c r="E7" i="2"/>
  <c r="E22" i="2"/>
  <c r="B15" i="2"/>
  <c r="D16" i="2"/>
  <c r="E18" i="2"/>
  <c r="C8" i="2"/>
  <c r="C7" i="2"/>
  <c r="B11" i="2"/>
  <c r="D18" i="2"/>
  <c r="D14" i="2"/>
  <c r="D12" i="2"/>
  <c r="B8" i="2"/>
  <c r="B20" i="2"/>
  <c r="D11" i="2"/>
  <c r="B3" i="3"/>
  <c r="B3" i="2"/>
  <c r="C13" i="2"/>
  <c r="D13" i="2"/>
  <c r="C20" i="2"/>
  <c r="D9" i="2"/>
  <c r="B4" i="3"/>
  <c r="B4" i="2"/>
</calcChain>
</file>

<file path=xl/sharedStrings.xml><?xml version="1.0" encoding="utf-8"?>
<sst xmlns="http://schemas.openxmlformats.org/spreadsheetml/2006/main" count="122" uniqueCount="93">
  <si>
    <t>Pricing Date</t>
  </si>
  <si>
    <t>2026-03-09</t>
  </si>
  <si>
    <t>Region: United States</t>
  </si>
  <si>
    <t>Instrument: Fed Funds Futures</t>
  </si>
  <si>
    <t>Target Rate</t>
  </si>
  <si>
    <t>Effective Rate</t>
  </si>
  <si>
    <t>Cur. Imp. O/N Rate</t>
  </si>
  <si>
    <t>Meeting</t>
  </si>
  <si>
    <t>#Hikes/Cuts</t>
  </si>
  <si>
    <t>%Hike/Cut</t>
  </si>
  <si>
    <t>Imp. Rate ∆</t>
  </si>
  <si>
    <t>Implied Rate</t>
  </si>
  <si>
    <t>A.R.M.</t>
  </si>
  <si>
    <t>03/18/2026</t>
  </si>
  <si>
    <t>04/29/2026</t>
  </si>
  <si>
    <t>06/17/2026</t>
  </si>
  <si>
    <t>07/29/2026</t>
  </si>
  <si>
    <t>09/16/2026</t>
  </si>
  <si>
    <t>10/28/2026</t>
  </si>
  <si>
    <t>12/09/2026</t>
  </si>
  <si>
    <t>01/27/2027</t>
  </si>
  <si>
    <t>03/17/2027</t>
  </si>
  <si>
    <t>04/28/2027</t>
  </si>
  <si>
    <t>06/09/2027</t>
  </si>
  <si>
    <t>07/28/2027</t>
  </si>
  <si>
    <t>09/15/2027</t>
  </si>
  <si>
    <t>10/27/2027</t>
  </si>
  <si>
    <t>12/08/2027</t>
  </si>
  <si>
    <t>01/26/2028</t>
  </si>
  <si>
    <t>US0ANM MAR2026 Index</t>
  </si>
  <si>
    <t>US0APR MAR2026 Index</t>
  </si>
  <si>
    <t>US0ACH MAR2026 Index</t>
  </si>
  <si>
    <t>US0AFR MAR2026 Index</t>
  </si>
  <si>
    <t>US0ANM APR2026 Index</t>
  </si>
  <si>
    <t>US0APR APR2026 Index</t>
  </si>
  <si>
    <t>US0ACH APR2026 Index</t>
  </si>
  <si>
    <t>US0AFR APR2026 Index</t>
  </si>
  <si>
    <t>US0ANM JUN2026 Index</t>
  </si>
  <si>
    <t>US0APR JUN2026 Index</t>
  </si>
  <si>
    <t>US0ACH JUN2026 Index</t>
  </si>
  <si>
    <t>US0AFR JUN2026 Index</t>
  </si>
  <si>
    <t>US0ANM JUL2026 Index</t>
  </si>
  <si>
    <t>US0APR JUL2026 Index</t>
  </si>
  <si>
    <t>US0ACH JUL2026 Index</t>
  </si>
  <si>
    <t>US0AFR JUL2026 Index</t>
  </si>
  <si>
    <t>US0ANM SEP2026 Index</t>
  </si>
  <si>
    <t>US0APR SEP2026 Index</t>
  </si>
  <si>
    <t>US0ACH SEP2026 Index</t>
  </si>
  <si>
    <t>US0AFR SEP2026 Index</t>
  </si>
  <si>
    <t>US0ANM OCT2026 Index</t>
  </si>
  <si>
    <t>US0APR OCT2026 Index</t>
  </si>
  <si>
    <t>US0ACH OCT2026 Index</t>
  </si>
  <si>
    <t>US0AFR OCT2026 Index</t>
  </si>
  <si>
    <t>US0ANM DEC2026 Index</t>
  </si>
  <si>
    <t>US0APR DEC2026 Index</t>
  </si>
  <si>
    <t>US0ACH DEC2026 Index</t>
  </si>
  <si>
    <t>US0AFR DEC2026 Index</t>
  </si>
  <si>
    <t>US0ANM JAN2027 Index</t>
  </si>
  <si>
    <t>US0APR JAN2027 Index</t>
  </si>
  <si>
    <t>US0ACH JAN2027 Index</t>
  </si>
  <si>
    <t>US0AFR JAN2027 Index</t>
  </si>
  <si>
    <t>US0ANM MAR2027 Index</t>
  </si>
  <si>
    <t>US0APR MAR2027 Index</t>
  </si>
  <si>
    <t>US0ACH MAR2027 Index</t>
  </si>
  <si>
    <t>US0AFR MAR2027 Index</t>
  </si>
  <si>
    <t>US0ANM APR2027 Index</t>
  </si>
  <si>
    <t>US0APR APR2027 Index</t>
  </si>
  <si>
    <t>US0ACH APR2027 Index</t>
  </si>
  <si>
    <t>US0AFR APR2027 Index</t>
  </si>
  <si>
    <t>US0ANM JUN2027 Index</t>
  </si>
  <si>
    <t>US0APR JUN2027 Index</t>
  </si>
  <si>
    <t>US0ACH JUN2027 Index</t>
  </si>
  <si>
    <t>US0AFR JUN2027 Index</t>
  </si>
  <si>
    <t>US0ANM JUL2027 Index</t>
  </si>
  <si>
    <t>US0APR JUL2027 Index</t>
  </si>
  <si>
    <t>US0ACH JUL2027 Index</t>
  </si>
  <si>
    <t>US0AFR JUL2027 Index</t>
  </si>
  <si>
    <t>US0ANM SEP2027 Index</t>
  </si>
  <si>
    <t>US0APR SEP2027 Index</t>
  </si>
  <si>
    <t>US0ACH SEP2027 Index</t>
  </si>
  <si>
    <t>US0AFR SEP2027 Index</t>
  </si>
  <si>
    <t>US0ANM OCT2027 Index</t>
  </si>
  <si>
    <t>US0APR OCT2027 Index</t>
  </si>
  <si>
    <t>US0ACH OCT2027 Index</t>
  </si>
  <si>
    <t>US0AFR OCT2027 Index</t>
  </si>
  <si>
    <t>US0ANM DEC2027 Index</t>
  </si>
  <si>
    <t>US0APR DEC2027 Index</t>
  </si>
  <si>
    <t>US0ACH DEC2027 Index</t>
  </si>
  <si>
    <t>US0AFR DEC2027 Index</t>
  </si>
  <si>
    <t>US0ANM JAN2028 Index</t>
  </si>
  <si>
    <t>US0APR JAN2028 Index</t>
  </si>
  <si>
    <t>US0ACH JAN2028 Index</t>
  </si>
  <si>
    <t>US0AFR JAN2028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</si>
</sst>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C8" sqref="C8"/>
    </sheetView>
  </sheetViews>
  <sheetFormatPr defaultRowHeight="15"/>
  <cols>
    <col min="1" max="1" width="38" customWidth="1"/>
    <col min="2" max="6" width="19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>
        <f>_xll.BDP("FDTR Index", "RQ005")</f>
        <v>3.75</v>
      </c>
    </row>
    <row r="4" spans="1:6">
      <c r="A4" t="s">
        <v>5</v>
      </c>
      <c r="B4">
        <f>_xll.BDP("FEDL01 Index", "RQ005")</f>
        <v>3.64</v>
      </c>
    </row>
    <row r="5" spans="1:6">
      <c r="A5" t="s">
        <v>6</v>
      </c>
      <c r="B5">
        <f>_xll.BDP("US0ACR Index", "RQ005")</f>
        <v>3.6429999999999998</v>
      </c>
    </row>
    <row r="6" spans="1: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>
      <c r="A7" t="s">
        <v>13</v>
      </c>
      <c r="B7">
        <f>_xll.BDP("US0ANM MAR2026 Index","RQ005")</f>
        <v>-3.5999999999999997E-2</v>
      </c>
      <c r="C7">
        <f>_xll.BDP("US0APR MAR2026 Index","RQ005")</f>
        <v>-3.6</v>
      </c>
      <c r="D7">
        <f>_xll.BDP("US0ACH MAR2026 Index","RQ005")</f>
        <v>-8.9999999999999993E-3</v>
      </c>
      <c r="E7">
        <f>_xll.BDP("US0AFR MAR2026 Index","RQ005")</f>
        <v>3.6339999999999999</v>
      </c>
      <c r="F7">
        <v>0.25</v>
      </c>
    </row>
    <row r="8" spans="1:6">
      <c r="A8" t="s">
        <v>14</v>
      </c>
      <c r="B8">
        <f>_xll.BDP("US0ANM APR2026 Index","RQ005")</f>
        <v>-0.16</v>
      </c>
      <c r="C8">
        <f>_xll.BDP("US0APR APR2026 Index","RQ005")</f>
        <v>-12.4</v>
      </c>
      <c r="D8">
        <f>_xll.BDP("US0ACH APR2026 Index","RQ005")</f>
        <v>-0.04</v>
      </c>
      <c r="E8">
        <f>_xll.BDP("US0AFR APR2026 Index","RQ005")</f>
        <v>3.6019999999999999</v>
      </c>
      <c r="F8">
        <v>0.25</v>
      </c>
    </row>
    <row r="9" spans="1:6">
      <c r="A9" t="s">
        <v>15</v>
      </c>
      <c r="B9">
        <f>_xll.BDP("US0ANM JUN2026 Index","RQ005")</f>
        <v>-0.48299999999999998</v>
      </c>
      <c r="C9">
        <f>_xll.BDP("US0APR JUN2026 Index","RQ005")</f>
        <v>-32.299999999999997</v>
      </c>
      <c r="D9">
        <f>_xll.BDP("US0ACH JUN2026 Index","RQ005")</f>
        <v>-0.121</v>
      </c>
      <c r="E9">
        <f>_xll.BDP("US0AFR JUN2026 Index","RQ005")</f>
        <v>3.5220000000000002</v>
      </c>
      <c r="F9">
        <v>0.25</v>
      </c>
    </row>
    <row r="10" spans="1:6">
      <c r="A10" t="s">
        <v>16</v>
      </c>
      <c r="B10">
        <f>_xll.BDP("US0ANM JUL2026 Index","RQ005")</f>
        <v>-0.76</v>
      </c>
      <c r="C10">
        <f>_xll.BDP("US0APR JUL2026 Index","RQ005")</f>
        <v>-27.7</v>
      </c>
      <c r="D10">
        <f>_xll.BDP("US0ACH JUL2026 Index","RQ005")</f>
        <v>-0.19</v>
      </c>
      <c r="E10">
        <f>_xll.BDP("US0AFR JUL2026 Index","RQ005")</f>
        <v>3.4529999999999998</v>
      </c>
      <c r="F10">
        <v>0.25</v>
      </c>
    </row>
    <row r="11" spans="1:6">
      <c r="A11" t="s">
        <v>17</v>
      </c>
      <c r="B11">
        <f>_xll.BDP("US0ANM SEP2026 Index","RQ005")</f>
        <v>-1.111</v>
      </c>
      <c r="C11">
        <f>_xll.BDP("US0APR SEP2026 Index","RQ005")</f>
        <v>-35.1</v>
      </c>
      <c r="D11">
        <f>_xll.BDP("US0ACH SEP2026 Index","RQ005")</f>
        <v>-0.27800000000000002</v>
      </c>
      <c r="E11">
        <f>_xll.BDP("US0AFR SEP2026 Index","RQ005")</f>
        <v>3.3650000000000002</v>
      </c>
      <c r="F11">
        <v>0.25</v>
      </c>
    </row>
    <row r="12" spans="1:6">
      <c r="A12" t="s">
        <v>18</v>
      </c>
      <c r="B12">
        <f>_xll.BDP("US0ANM OCT2026 Index","RQ005")</f>
        <v>-1.34</v>
      </c>
      <c r="C12">
        <f>_xll.BDP("US0APR OCT2026 Index","RQ005")</f>
        <v>-22.9</v>
      </c>
      <c r="D12">
        <f>_xll.BDP("US0ACH OCT2026 Index","RQ005")</f>
        <v>-0.33500000000000002</v>
      </c>
      <c r="E12">
        <f>_xll.BDP("US0AFR OCT2026 Index","RQ005")</f>
        <v>3.3069999999999999</v>
      </c>
      <c r="F12">
        <v>0.25</v>
      </c>
    </row>
    <row r="13" spans="1:6">
      <c r="A13" t="s">
        <v>19</v>
      </c>
      <c r="B13">
        <f>_xll.BDP("US0ANM DEC2026 Index","RQ005")</f>
        <v>-1.6579999999999999</v>
      </c>
      <c r="C13">
        <f>_xll.BDP("US0APR DEC2026 Index","RQ005")</f>
        <v>-31.8</v>
      </c>
      <c r="D13">
        <f>_xll.BDP("US0ACH DEC2026 Index","RQ005")</f>
        <v>-0.41399999999999998</v>
      </c>
      <c r="E13">
        <f>_xll.BDP("US0AFR DEC2026 Index","RQ005")</f>
        <v>3.2280000000000002</v>
      </c>
      <c r="F13">
        <v>0.25</v>
      </c>
    </row>
    <row r="14" spans="1:6">
      <c r="A14" t="s">
        <v>20</v>
      </c>
      <c r="B14">
        <f>_xll.BDP("US0ANM JAN2027 Index","RQ005")</f>
        <v>-1.72</v>
      </c>
      <c r="C14">
        <f>_xll.BDP("US0APR JAN2027 Index","RQ005")</f>
        <v>-6.2</v>
      </c>
      <c r="D14">
        <f>_xll.BDP("US0ACH JAN2027 Index","RQ005")</f>
        <v>-0.43</v>
      </c>
      <c r="E14">
        <f>_xll.BDP("US0AFR JAN2027 Index","RQ005")</f>
        <v>3.2130000000000001</v>
      </c>
      <c r="F14">
        <v>0.25</v>
      </c>
    </row>
    <row r="15" spans="1:6">
      <c r="A15" t="s">
        <v>21</v>
      </c>
      <c r="B15">
        <f>_xll.BDP("US0ANM MAR2027 Index","RQ005")</f>
        <v>-1.8399999999999999</v>
      </c>
      <c r="C15">
        <f>_xll.BDP("US0APR MAR2027 Index","RQ005")</f>
        <v>-12</v>
      </c>
      <c r="D15">
        <f>_xll.BDP("US0ACH MAR2027 Index","RQ005")</f>
        <v>-0.46</v>
      </c>
      <c r="E15">
        <f>_xll.BDP("US0AFR MAR2027 Index","RQ005")</f>
        <v>3.1829999999999998</v>
      </c>
      <c r="F15">
        <v>0.25</v>
      </c>
    </row>
    <row r="16" spans="1:6">
      <c r="A16" t="s">
        <v>22</v>
      </c>
      <c r="B16">
        <f>_xll.BDP("US0ANM APR2027 Index","RQ005")</f>
        <v>-1.87</v>
      </c>
      <c r="C16">
        <f>_xll.BDP("US0APR APR2027 Index","RQ005")</f>
        <v>-3</v>
      </c>
      <c r="D16">
        <f>_xll.BDP("US0ACH APR2027 Index","RQ005")</f>
        <v>-0.46800000000000003</v>
      </c>
      <c r="E16">
        <f>_xll.BDP("US0AFR APR2027 Index","RQ005")</f>
        <v>3.1749999999999998</v>
      </c>
      <c r="F16">
        <v>0.25</v>
      </c>
    </row>
    <row r="17" spans="1:6">
      <c r="A17" t="s">
        <v>23</v>
      </c>
      <c r="B17">
        <f>_xll.BDP("US0ANM JUN2027 Index","RQ005")</f>
        <v>-1.974</v>
      </c>
      <c r="C17">
        <f>_xll.BDP("US0APR JUN2027 Index","RQ005")</f>
        <v>-10.4</v>
      </c>
      <c r="D17">
        <f>_xll.BDP("US0ACH JUN2027 Index","RQ005")</f>
        <v>-0.49299999999999999</v>
      </c>
      <c r="E17">
        <f>_xll.BDP("US0AFR JUN2027 Index","RQ005")</f>
        <v>3.149</v>
      </c>
      <c r="F17">
        <v>0.25</v>
      </c>
    </row>
    <row r="18" spans="1:6">
      <c r="A18" t="s">
        <v>24</v>
      </c>
      <c r="B18">
        <f>_xll.BDP("US0ANM JUL2027 Index","RQ005")</f>
        <v>-2</v>
      </c>
      <c r="C18">
        <f>_xll.BDP("US0APR JUL2027 Index","RQ005")</f>
        <v>-2.6</v>
      </c>
      <c r="D18">
        <f>_xll.BDP("US0ACH JUL2027 Index","RQ005")</f>
        <v>-0.5</v>
      </c>
      <c r="E18">
        <f>_xll.BDP("US0AFR JUL2027 Index","RQ005")</f>
        <v>3.1419999999999999</v>
      </c>
      <c r="F18">
        <v>0.25</v>
      </c>
    </row>
    <row r="19" spans="1:6">
      <c r="A19" t="s">
        <v>25</v>
      </c>
      <c r="B19">
        <f>_xll.BDP("US0ANM SEP2027 Index","RQ005")</f>
        <v>-2.0910000000000002</v>
      </c>
      <c r="C19">
        <f>_xll.BDP("US0APR SEP2027 Index","RQ005")</f>
        <v>-9.1</v>
      </c>
      <c r="D19">
        <f>_xll.BDP("US0ACH SEP2027 Index","RQ005")</f>
        <v>-0.52300000000000002</v>
      </c>
      <c r="E19">
        <f>_xll.BDP("US0AFR SEP2027 Index","RQ005")</f>
        <v>3.12</v>
      </c>
      <c r="F19">
        <v>0.25</v>
      </c>
    </row>
    <row r="20" spans="1:6">
      <c r="A20" t="s">
        <v>26</v>
      </c>
      <c r="B20">
        <f>_xll.BDP("US0ANM OCT2027 Index","RQ005")</f>
        <v>-1.95</v>
      </c>
      <c r="C20">
        <f>_xll.BDP("US0APR OCT2027 Index","RQ005")</f>
        <v>14.1</v>
      </c>
      <c r="D20">
        <f>_xll.BDP("US0ACH OCT2027 Index","RQ005")</f>
        <v>-0.48799999999999999</v>
      </c>
      <c r="E20">
        <f>_xll.BDP("US0AFR OCT2027 Index","RQ005")</f>
        <v>3.1549999999999998</v>
      </c>
      <c r="F20">
        <v>0.25</v>
      </c>
    </row>
    <row r="21" spans="1:6">
      <c r="A21" t="s">
        <v>27</v>
      </c>
      <c r="B21">
        <f>_xll.BDP("US0ANM DEC2027 Index","RQ005")</f>
        <v>-2.3039999999999998</v>
      </c>
      <c r="C21">
        <f>_xll.BDP("US0APR DEC2027 Index","RQ005")</f>
        <v>-35.4</v>
      </c>
      <c r="D21">
        <f>_xll.BDP("US0ACH DEC2027 Index","RQ005")</f>
        <v>-0.57599999999999996</v>
      </c>
      <c r="E21">
        <f>_xll.BDP("US0AFR DEC2027 Index","RQ005")</f>
        <v>3.0670000000000002</v>
      </c>
      <c r="F21">
        <v>0.25</v>
      </c>
    </row>
    <row r="22" spans="1:6">
      <c r="A22" t="s">
        <v>28</v>
      </c>
      <c r="B22">
        <f>_xll.BDP("US0ANM JAN2028 Index","RQ005")</f>
        <v>-2.37</v>
      </c>
      <c r="C22">
        <f>_xll.BDP("US0APR JAN2028 Index","RQ005")</f>
        <v>-6.6</v>
      </c>
      <c r="D22">
        <f>_xll.BDP("US0ACH JAN2028 Index","RQ005")</f>
        <v>-0.59299999999999997</v>
      </c>
      <c r="E22">
        <f>_xll.BDP("US0AFR JAN2028 Index","RQ005")</f>
        <v>3.05</v>
      </c>
      <c r="F22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/>
  </sheetViews>
  <sheetFormatPr defaultRowHeight="15"/>
  <cols>
    <col min="1" max="1" width="38" customWidth="1"/>
    <col min="2" max="6" width="19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>
        <f>_xll.BDP("FDTR Index", "RQ005")</f>
        <v>3.75</v>
      </c>
    </row>
    <row r="4" spans="1:6">
      <c r="A4" t="s">
        <v>5</v>
      </c>
      <c r="B4">
        <f>_xll.BDP("FEDL01 Index", "RQ005")</f>
        <v>3.64</v>
      </c>
    </row>
    <row r="5" spans="1:6">
      <c r="A5" t="s">
        <v>6</v>
      </c>
      <c r="B5">
        <f>_xll.BDP("US0ACR Index", "RQ005")</f>
        <v>3.6429999999999998</v>
      </c>
    </row>
    <row r="6" spans="1: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>
      <c r="A7" t="s">
        <v>13</v>
      </c>
      <c r="B7" t="s">
        <v>29</v>
      </c>
      <c r="C7" t="s">
        <v>30</v>
      </c>
      <c r="D7" t="s">
        <v>31</v>
      </c>
      <c r="E7" t="s">
        <v>32</v>
      </c>
      <c r="F7">
        <v>0.25</v>
      </c>
    </row>
    <row r="8" spans="1:6">
      <c r="A8" t="s">
        <v>14</v>
      </c>
      <c r="B8" t="s">
        <v>33</v>
      </c>
      <c r="C8" t="s">
        <v>34</v>
      </c>
      <c r="D8" t="s">
        <v>35</v>
      </c>
      <c r="E8" t="s">
        <v>36</v>
      </c>
      <c r="F8">
        <v>0.25</v>
      </c>
    </row>
    <row r="9" spans="1:6">
      <c r="A9" t="s">
        <v>15</v>
      </c>
      <c r="B9" t="s">
        <v>37</v>
      </c>
      <c r="C9" t="s">
        <v>38</v>
      </c>
      <c r="D9" t="s">
        <v>39</v>
      </c>
      <c r="E9" t="s">
        <v>40</v>
      </c>
      <c r="F9">
        <v>0.25</v>
      </c>
    </row>
    <row r="10" spans="1:6">
      <c r="A10" t="s">
        <v>16</v>
      </c>
      <c r="B10" t="s">
        <v>41</v>
      </c>
      <c r="C10" t="s">
        <v>42</v>
      </c>
      <c r="D10" t="s">
        <v>43</v>
      </c>
      <c r="E10" t="s">
        <v>44</v>
      </c>
      <c r="F10">
        <v>0.25</v>
      </c>
    </row>
    <row r="11" spans="1:6">
      <c r="A11" t="s">
        <v>17</v>
      </c>
      <c r="B11" t="s">
        <v>45</v>
      </c>
      <c r="C11" t="s">
        <v>46</v>
      </c>
      <c r="D11" t="s">
        <v>47</v>
      </c>
      <c r="E11" t="s">
        <v>48</v>
      </c>
      <c r="F11">
        <v>0.25</v>
      </c>
    </row>
    <row r="12" spans="1:6">
      <c r="A12" t="s">
        <v>18</v>
      </c>
      <c r="B12" t="s">
        <v>49</v>
      </c>
      <c r="C12" t="s">
        <v>50</v>
      </c>
      <c r="D12" t="s">
        <v>51</v>
      </c>
      <c r="E12" t="s">
        <v>52</v>
      </c>
      <c r="F12">
        <v>0.25</v>
      </c>
    </row>
    <row r="13" spans="1:6">
      <c r="A13" t="s">
        <v>19</v>
      </c>
      <c r="B13" t="s">
        <v>53</v>
      </c>
      <c r="C13" t="s">
        <v>54</v>
      </c>
      <c r="D13" t="s">
        <v>55</v>
      </c>
      <c r="E13" t="s">
        <v>56</v>
      </c>
      <c r="F13">
        <v>0.25</v>
      </c>
    </row>
    <row r="14" spans="1:6">
      <c r="A14" t="s">
        <v>20</v>
      </c>
      <c r="B14" t="s">
        <v>57</v>
      </c>
      <c r="C14" t="s">
        <v>58</v>
      </c>
      <c r="D14" t="s">
        <v>59</v>
      </c>
      <c r="E14" t="s">
        <v>60</v>
      </c>
      <c r="F14">
        <v>0.25</v>
      </c>
    </row>
    <row r="15" spans="1:6">
      <c r="A15" t="s">
        <v>21</v>
      </c>
      <c r="B15" t="s">
        <v>61</v>
      </c>
      <c r="C15" t="s">
        <v>62</v>
      </c>
      <c r="D15" t="s">
        <v>63</v>
      </c>
      <c r="E15" t="s">
        <v>64</v>
      </c>
      <c r="F15">
        <v>0.25</v>
      </c>
    </row>
    <row r="16" spans="1:6">
      <c r="A16" t="s">
        <v>22</v>
      </c>
      <c r="B16" t="s">
        <v>65</v>
      </c>
      <c r="C16" t="s">
        <v>66</v>
      </c>
      <c r="D16" t="s">
        <v>67</v>
      </c>
      <c r="E16" t="s">
        <v>68</v>
      </c>
      <c r="F16">
        <v>0.25</v>
      </c>
    </row>
    <row r="17" spans="1:6">
      <c r="A17" t="s">
        <v>23</v>
      </c>
      <c r="B17" t="s">
        <v>69</v>
      </c>
      <c r="C17" t="s">
        <v>70</v>
      </c>
      <c r="D17" t="s">
        <v>71</v>
      </c>
      <c r="E17" t="s">
        <v>72</v>
      </c>
      <c r="F17">
        <v>0.25</v>
      </c>
    </row>
    <row r="18" spans="1:6">
      <c r="A18" t="s">
        <v>24</v>
      </c>
      <c r="B18" t="s">
        <v>73</v>
      </c>
      <c r="C18" t="s">
        <v>74</v>
      </c>
      <c r="D18" t="s">
        <v>75</v>
      </c>
      <c r="E18" t="s">
        <v>76</v>
      </c>
      <c r="F18">
        <v>0.25</v>
      </c>
    </row>
    <row r="19" spans="1:6">
      <c r="A19" t="s">
        <v>25</v>
      </c>
      <c r="B19" t="s">
        <v>77</v>
      </c>
      <c r="C19" t="s">
        <v>78</v>
      </c>
      <c r="D19" t="s">
        <v>79</v>
      </c>
      <c r="E19" t="s">
        <v>80</v>
      </c>
      <c r="F19">
        <v>0.25</v>
      </c>
    </row>
    <row r="20" spans="1:6">
      <c r="A20" t="s">
        <v>26</v>
      </c>
      <c r="B20" t="s">
        <v>81</v>
      </c>
      <c r="C20" t="s">
        <v>82</v>
      </c>
      <c r="D20" t="s">
        <v>83</v>
      </c>
      <c r="E20" t="s">
        <v>84</v>
      </c>
      <c r="F20">
        <v>0.25</v>
      </c>
    </row>
    <row r="21" spans="1:6">
      <c r="A21" t="s">
        <v>27</v>
      </c>
      <c r="B21" t="s">
        <v>85</v>
      </c>
      <c r="C21" t="s">
        <v>86</v>
      </c>
      <c r="D21" t="s">
        <v>87</v>
      </c>
      <c r="E21" t="s">
        <v>88</v>
      </c>
      <c r="F21">
        <v>0.25</v>
      </c>
    </row>
    <row r="22" spans="1:6">
      <c r="A22" t="s">
        <v>28</v>
      </c>
      <c r="B22" t="s">
        <v>89</v>
      </c>
      <c r="C22" t="s">
        <v>90</v>
      </c>
      <c r="D22" t="s">
        <v>91</v>
      </c>
      <c r="E22" t="s">
        <v>92</v>
      </c>
      <c r="F2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Eugene Dun Ong</cp:lastModifiedBy>
  <cp:revision/>
  <dcterms:created xsi:type="dcterms:W3CDTF">2013-04-03T15:49:21Z</dcterms:created>
  <dcterms:modified xsi:type="dcterms:W3CDTF">2026-03-10T03:31:29Z</dcterms:modified>
  <cp:category/>
  <cp:contentStatus/>
</cp:coreProperties>
</file>